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travislathrop/Desktop/Print Farm Academy/Free Resources/"/>
    </mc:Choice>
  </mc:AlternateContent>
  <xr:revisionPtr revIDLastSave="0" documentId="13_ncr:1_{6FE1DB5C-7E86-654C-B794-42A7EF7EA337}" xr6:coauthVersionLast="47" xr6:coauthVersionMax="47" xr10:uidLastSave="{00000000-0000-0000-0000-000000000000}"/>
  <bookViews>
    <workbookView xWindow="0" yWindow="500" windowWidth="35840" windowHeight="20640" xr2:uid="{AC6A3B31-6EC9-3A43-BA03-690DE5D0C407}"/>
  </bookViews>
  <sheets>
    <sheet name="Calculation Sheet" sheetId="1" r:id="rId1"/>
    <sheet name="Instructions" sheetId="3" r:id="rId2"/>
    <sheet name="Adv. Input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 r="G43" i="1"/>
  <c r="F17" i="1"/>
  <c r="G17" i="1" s="1"/>
  <c r="G38" i="1"/>
  <c r="G28" i="1"/>
  <c r="G39" i="1"/>
  <c r="G37" i="1"/>
  <c r="G36" i="1"/>
  <c r="G35" i="1"/>
  <c r="G34" i="1"/>
  <c r="G33" i="1"/>
  <c r="G32" i="1"/>
  <c r="G23" i="1"/>
  <c r="G19" i="1"/>
  <c r="G20" i="1"/>
  <c r="G21" i="1"/>
  <c r="G22" i="1"/>
  <c r="G24" i="1"/>
  <c r="G18" i="1"/>
  <c r="C17" i="1"/>
  <c r="C27" i="2"/>
  <c r="C20" i="2"/>
  <c r="C13" i="2"/>
  <c r="G41" i="1" l="1"/>
  <c r="G26" i="1"/>
  <c r="C16" i="2"/>
  <c r="C26" i="2" s="1"/>
  <c r="C29" i="2" s="1"/>
  <c r="C5" i="2" s="1"/>
  <c r="G49" i="1" l="1"/>
  <c r="G53" i="1"/>
  <c r="G51" i="1"/>
</calcChain>
</file>

<file path=xl/sharedStrings.xml><?xml version="1.0" encoding="utf-8"?>
<sst xmlns="http://schemas.openxmlformats.org/spreadsheetml/2006/main" count="131" uniqueCount="111">
  <si>
    <t>Material Efficiency Factor</t>
  </si>
  <si>
    <t>Name</t>
  </si>
  <si>
    <t>Value</t>
  </si>
  <si>
    <t>Description</t>
  </si>
  <si>
    <t>Multiplier for taking printing in-efficiencies into account.  The product's material usage is multiplied by this factor.  By default this number is 1.1 (110%)</t>
  </si>
  <si>
    <t>This value is the estimated value your 3D printer on an hourly basis.  The claculation is below if you want to input your own values.  The default value is $0.15/hr which I have found to be an excellent baseline to use for most desktop FDM printers.</t>
  </si>
  <si>
    <t>Printer Cost ($)</t>
  </si>
  <si>
    <t>Additional Upfront Cost ($)</t>
  </si>
  <si>
    <t>To include any upgrades done to the printer upon putting into service.</t>
  </si>
  <si>
    <t>This is the total cost spent to purchase the 3D printer (includes shipping and taxes)</t>
  </si>
  <si>
    <t>Total Investment ($)</t>
  </si>
  <si>
    <t>Calculated value</t>
  </si>
  <si>
    <t>Estimated Annual Maintenance &amp; Repair ($)</t>
  </si>
  <si>
    <t>Estimated cost of maintenance, upkeep, and repair spent per year to keep the 3D printer running.  By default this value is 10% of the printer cost</t>
  </si>
  <si>
    <t>Estimated Life (yrs)</t>
  </si>
  <si>
    <t>Most hobbyist 3D Printers can be expected to last anywhere from 3-7 years depending on their use.  A print farm machine should be expected to last less than a hobbyist one.</t>
  </si>
  <si>
    <t>Estimated Uptime (%)</t>
  </si>
  <si>
    <t>This value estimates the % number of hours the 3D printer will be running on average over the course of a year.  50% would be a very busy 3D printer, adjust accordingly.</t>
  </si>
  <si>
    <t>Estimated Uptime (hrs/yr)</t>
  </si>
  <si>
    <t>Lifetime Cost ($)</t>
  </si>
  <si>
    <t>Electricity Cost ($/KWh)</t>
  </si>
  <si>
    <t>Average rate per KWh in the USA is $0.14.  Adjust accordingly if needed</t>
  </si>
  <si>
    <t>FDM 3D printers draw anywhere from 60W-300W during use.  The most power is drawn during the heat up phase, so the average should be around 150W</t>
  </si>
  <si>
    <t>Average Printer Power Consumption (W)</t>
  </si>
  <si>
    <t>Calculated Value.  Total spent on printer for duration of it's life</t>
  </si>
  <si>
    <t>Calculated Value</t>
  </si>
  <si>
    <t>Print Time Rate Calculation Results</t>
  </si>
  <si>
    <t>Printer Electrical Cost per hour ($/hr)</t>
  </si>
  <si>
    <t>Printer Capital Cost per hour ($/hr)</t>
  </si>
  <si>
    <t>Total Printer Cost per hour ($/hr)</t>
  </si>
  <si>
    <t>Printer Cost Buffer Factor</t>
  </si>
  <si>
    <t>Multiplies the total printer cost per hour to account for unforseen expenses and depreciation.  By default this value is 1.3 but feel free to adjust accordingly</t>
  </si>
  <si>
    <t>Sum of printer capital and electrical cost and multiplying by the buffer factor</t>
  </si>
  <si>
    <t>Labor Hourly Rate ($/hr)</t>
  </si>
  <si>
    <t>Print Time Rate ($/hr)</t>
  </si>
  <si>
    <t>This is the assumed cost of labor for post processing, print farm management, and fulfillment.  Default value is $20/hr but adjust accordingly</t>
  </si>
  <si>
    <t>Part Name:</t>
  </si>
  <si>
    <t>Revision No.</t>
  </si>
  <si>
    <t>Date:</t>
  </si>
  <si>
    <t>Quantity</t>
  </si>
  <si>
    <t>Hardware 1</t>
  </si>
  <si>
    <t>Hardware 2</t>
  </si>
  <si>
    <t>Hardware 3</t>
  </si>
  <si>
    <t>Hardware 4</t>
  </si>
  <si>
    <t>Hardware 5</t>
  </si>
  <si>
    <t>Hardware 6</t>
  </si>
  <si>
    <t>Hardware 7</t>
  </si>
  <si>
    <t>Total Cost</t>
  </si>
  <si>
    <t>Unit Cost</t>
  </si>
  <si>
    <t>Materials Input (Printed &amp; Purchased)</t>
  </si>
  <si>
    <t>Prepared By:</t>
  </si>
  <si>
    <t>Material Used:</t>
  </si>
  <si>
    <t>Total Filament Required (g):</t>
  </si>
  <si>
    <t>Filament Cost ($/kg):</t>
  </si>
  <si>
    <t>Total Printing Time (hr):</t>
  </si>
  <si>
    <t>Total Labor Required (min):</t>
  </si>
  <si>
    <t>Advanced Inputs</t>
  </si>
  <si>
    <t>(Insert name here)</t>
  </si>
  <si>
    <t>PETG</t>
  </si>
  <si>
    <t>V1</t>
  </si>
  <si>
    <t>XXX</t>
  </si>
  <si>
    <t>Print Farm Academy</t>
  </si>
  <si>
    <t>Printed Part</t>
  </si>
  <si>
    <t>Packaging &amp; Shipping Input</t>
  </si>
  <si>
    <t>Packaging 1</t>
  </si>
  <si>
    <t>Packaging 2</t>
  </si>
  <si>
    <t>Packaging 3</t>
  </si>
  <si>
    <t>Packaging 4</t>
  </si>
  <si>
    <t>Packaging 5</t>
  </si>
  <si>
    <t>Packaging 6</t>
  </si>
  <si>
    <t>Packaging 7</t>
  </si>
  <si>
    <t>Total Materials Cost ($):</t>
  </si>
  <si>
    <t>Total Labor Cost ($):</t>
  </si>
  <si>
    <t>Postage</t>
  </si>
  <si>
    <t>Total Packaging Cost ($):</t>
  </si>
  <si>
    <t>Example Part 1</t>
  </si>
  <si>
    <t>Average Shipping  Cost</t>
  </si>
  <si>
    <t>Total Landed Cost ($):</t>
  </si>
  <si>
    <t>50% Margin Price</t>
  </si>
  <si>
    <t>70% Margin Price</t>
  </si>
  <si>
    <t>60% Margin Price</t>
  </si>
  <si>
    <t>Suggested Pricing Based on Margin Target</t>
  </si>
  <si>
    <t>3D Printed Product Pricing Sheet</t>
  </si>
  <si>
    <t>Instructions for filling out the 3D Printing Pricing Sheet</t>
  </si>
  <si>
    <t>Begin by filling in all of the BLUE fields at the top of the pricing sheet.  The required fields are: Filament Cost (D10), Total Filament Required (D11), Total Print Time (D12), and Total Labor Required (D13)</t>
  </si>
  <si>
    <t>Color Code Legend:</t>
  </si>
  <si>
    <t>INPUTS</t>
  </si>
  <si>
    <t>Materials Section</t>
  </si>
  <si>
    <t>Labor Section</t>
  </si>
  <si>
    <t>Packaging Section</t>
  </si>
  <si>
    <t>Total Landed Cost</t>
  </si>
  <si>
    <t>Price Outputs</t>
  </si>
  <si>
    <t>Calculations</t>
  </si>
  <si>
    <t>Any cells  of the worksheet colored light blue are inputs (Some  text, but mostly  numerical)</t>
  </si>
  <si>
    <t>This section covers all material costs, all calculated numbers are colored GREY</t>
  </si>
  <si>
    <t>Calculated labor cost (GREY) is based on inputs and labor rate (located in Advanced Inputs)</t>
  </si>
  <si>
    <t>This section covers all packaging and postage materials used for your product.</t>
  </si>
  <si>
    <t>Total landed cost (GREY) is a sum of all (3) sections above</t>
  </si>
  <si>
    <t>The price outputs (GREY) are calculated at 3 different margins.  You can change the margin in the equations</t>
  </si>
  <si>
    <t>All text that is GREY is a calculation and should not be changed</t>
  </si>
  <si>
    <t>For the Materials section begin by inputting the QUANTITY of 3D printed part you want to calculate for (by default this value is 1).</t>
  </si>
  <si>
    <t>IF your 3D printed product uses materials other than the printer filament/resin/powder then list each component in the Materials section by assigning a name, quantity, and unit price.</t>
  </si>
  <si>
    <t>Notes and Instructions</t>
  </si>
  <si>
    <t>Move on to the Packaging and Shipping section and fill in the areas similar to the Materials section.  List each packaging component such as box, bubble wrap, insert card, packing tape, and packing slip.  The last box is reserved for an estimated shipping charge (if you offer free ship)</t>
  </si>
  <si>
    <t>Once all inputs are put in the Total Landed Cost value should be populated.  Using that number there are 3 different suggested sale prices based on standard margins of 50, 60, and 70.  If you would like to evaluate different margins, simply change the values in the equations of cells G47, G49, or G51.</t>
  </si>
  <si>
    <t>If you would like to refine the calculations more, open the "Adv. Inputs" tab where you can manually adjust different inputs such as efficiency factor, labor rate, and even print time rate.</t>
  </si>
  <si>
    <t>Happy Printing!  If you have any questions or suggestions for improvement please reach out to: printfarmacademy@gmail.com</t>
  </si>
  <si>
    <t>Print Time Rate (Machine Cost) Calculation</t>
  </si>
  <si>
    <t>Fill in all blue cells!</t>
  </si>
  <si>
    <t>To get started:</t>
  </si>
  <si>
    <t>Added Machine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</si>
</sst>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quot;$&quot;#,##0.00"/>
    <numFmt numFmtId="165" formatCode="&quot;$&quot;#,##0"/>
  </numFmts>
  <fonts count="32" x14ac:knownFonts="1">
    <font>
      <sz val="12"/>
      <color theme="1"/>
      <name val="Aptos Narrow"/>
      <family val="2"/>
      <scheme val="minor"/>
    </font>
    <font>
      <sz val="12"/>
      <color theme="1"/>
      <name val="Aptos Narrow"/>
      <family val="2"/>
      <scheme val="minor"/>
    </font>
    <font>
      <sz val="12"/>
      <color theme="0"/>
      <name val="Aptos Narrow"/>
      <family val="2"/>
      <scheme val="minor"/>
    </font>
    <font>
      <sz val="11"/>
      <color theme="1"/>
      <name val="Aptos Narrow"/>
      <family val="2"/>
      <scheme val="minor"/>
    </font>
    <font>
      <sz val="10"/>
      <color theme="1"/>
      <name val="Aptos Narrow"/>
      <family val="2"/>
      <scheme val="minor"/>
    </font>
    <font>
      <b/>
      <sz val="12"/>
      <color theme="1"/>
      <name val="Aptos Narrow"/>
      <scheme val="minor"/>
    </font>
    <font>
      <sz val="12"/>
      <color theme="2" tint="-0.499984740745262"/>
      <name val="Aptos Narrow"/>
      <family val="2"/>
      <scheme val="minor"/>
    </font>
    <font>
      <i/>
      <sz val="12"/>
      <color theme="1"/>
      <name val="Aptos Narrow"/>
      <scheme val="minor"/>
    </font>
    <font>
      <b/>
      <i/>
      <sz val="12"/>
      <color theme="1"/>
      <name val="Aptos Narrow"/>
      <scheme val="minor"/>
    </font>
    <font>
      <sz val="14"/>
      <color theme="1"/>
      <name val="Aptos Narrow"/>
      <family val="2"/>
      <scheme val="minor"/>
    </font>
    <font>
      <b/>
      <i/>
      <sz val="14"/>
      <color theme="1"/>
      <name val="Aptos Narrow"/>
      <scheme val="minor"/>
    </font>
    <font>
      <sz val="11"/>
      <color theme="2" tint="-0.499984740745262"/>
      <name val="Aptos Narrow"/>
      <family val="2"/>
      <scheme val="minor"/>
    </font>
    <font>
      <sz val="16"/>
      <color theme="1"/>
      <name val="Aptos Narrow"/>
      <family val="2"/>
      <scheme val="minor"/>
    </font>
    <font>
      <b/>
      <sz val="16"/>
      <color theme="1"/>
      <name val="Aptos Narrow"/>
      <scheme val="minor"/>
    </font>
    <font>
      <sz val="8"/>
      <name val="Aptos Narrow"/>
      <family val="2"/>
      <scheme val="minor"/>
    </font>
    <font>
      <i/>
      <sz val="16"/>
      <color theme="1"/>
      <name val="Aptos Narrow"/>
      <scheme val="minor"/>
    </font>
    <font>
      <sz val="12"/>
      <color theme="2" tint="-0.499984740745262"/>
      <name val="Aptos Narrow"/>
      <scheme val="minor"/>
    </font>
    <font>
      <b/>
      <i/>
      <sz val="12"/>
      <color theme="2" tint="-0.499984740745262"/>
      <name val="Aptos Narrow"/>
      <scheme val="minor"/>
    </font>
    <font>
      <i/>
      <sz val="16"/>
      <color theme="2" tint="-0.499984740745262"/>
      <name val="Aptos Narrow"/>
      <scheme val="minor"/>
    </font>
    <font>
      <sz val="18"/>
      <color theme="1"/>
      <name val="Aptos Narrow"/>
      <family val="2"/>
      <scheme val="minor"/>
    </font>
    <font>
      <sz val="20"/>
      <color theme="1"/>
      <name val="Aptos Narrow"/>
      <family val="2"/>
      <scheme val="minor"/>
    </font>
    <font>
      <b/>
      <sz val="24"/>
      <color theme="1"/>
      <name val="Aptos Narrow"/>
      <scheme val="minor"/>
    </font>
    <font>
      <sz val="16"/>
      <color theme="2" tint="-9.9978637043366805E-2"/>
      <name val="Aptos Narrow"/>
      <family val="2"/>
      <scheme val="minor"/>
    </font>
    <font>
      <sz val="16"/>
      <color theme="2" tint="-0.249977111117893"/>
      <name val="Aptos Narrow"/>
      <family val="2"/>
      <scheme val="minor"/>
    </font>
    <font>
      <b/>
      <sz val="16"/>
      <color theme="2" tint="-0.499984740745262"/>
      <name val="Aptos Narrow"/>
      <scheme val="minor"/>
    </font>
    <font>
      <sz val="18"/>
      <color theme="1"/>
      <name val="Aptos Narrow"/>
      <scheme val="minor"/>
    </font>
    <font>
      <sz val="18"/>
      <color theme="0"/>
      <name val="Aptos Narrow"/>
      <scheme val="minor"/>
    </font>
    <font>
      <sz val="16"/>
      <color theme="0"/>
      <name val="Aptos Narrow"/>
      <scheme val="minor"/>
    </font>
    <font>
      <sz val="18"/>
      <color theme="2" tint="-0.499984740745262"/>
      <name val="Aptos Narrow"/>
      <scheme val="minor"/>
    </font>
    <font>
      <sz val="14"/>
      <color theme="2" tint="-0.499984740745262"/>
      <name val="Aptos Narrow"/>
      <family val="2"/>
      <scheme val="minor"/>
    </font>
    <font>
      <i/>
      <sz val="14"/>
      <color theme="1"/>
      <name val="Aptos Narrow"/>
      <scheme val="minor"/>
    </font>
    <font>
      <sz val="16"/>
      <color theme="1" tint="0.34998626667073579"/>
      <name val="Aptos Narrow"/>
      <family val="2"/>
      <scheme val="minor"/>
    </font>
  </fonts>
  <fills count="15">
    <fill>
      <patternFill patternType="none"/>
    </fill>
    <fill>
      <patternFill patternType="gray125"/>
    </fill>
    <fill>
      <patternFill patternType="solid">
        <fgColor theme="9" tint="0.39997558519241921"/>
        <bgColor indexed="64"/>
      </patternFill>
    </fill>
    <fill>
      <patternFill patternType="solid">
        <fgColor theme="7" tint="0.7999816888943144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FFC00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1" tint="0.249977111117893"/>
        <bgColor indexed="64"/>
      </patternFill>
    </fill>
    <fill>
      <patternFill patternType="solid">
        <fgColor theme="2"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3">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horizontal="center"/>
    </xf>
    <xf numFmtId="0" fontId="0" fillId="0" borderId="0" xfId="0"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0" fontId="0" fillId="0" borderId="0" xfId="0" applyAlignment="1">
      <alignment vertical="center" wrapText="1"/>
    </xf>
    <xf numFmtId="0" fontId="0" fillId="0" borderId="1" xfId="0" applyBorder="1" applyAlignment="1">
      <alignment horizontal="center" vertical="center"/>
    </xf>
    <xf numFmtId="0" fontId="5" fillId="0" borderId="0" xfId="0" applyFont="1" applyAlignment="1">
      <alignment vertical="center"/>
    </xf>
    <xf numFmtId="44" fontId="0" fillId="0" borderId="0" xfId="0" applyNumberFormat="1" applyAlignment="1">
      <alignment horizontal="center" vertical="center"/>
    </xf>
    <xf numFmtId="0" fontId="4" fillId="0" borderId="0" xfId="0" applyFont="1" applyAlignment="1">
      <alignment wrapText="1"/>
    </xf>
    <xf numFmtId="9" fontId="0" fillId="0" borderId="1" xfId="2" applyFont="1" applyBorder="1" applyAlignment="1">
      <alignment horizontal="center" vertical="center"/>
    </xf>
    <xf numFmtId="0" fontId="5" fillId="2" borderId="1" xfId="0" applyFont="1" applyFill="1" applyBorder="1" applyAlignment="1">
      <alignment vertical="center"/>
    </xf>
    <xf numFmtId="0" fontId="2" fillId="0" borderId="0" xfId="0" applyFont="1"/>
    <xf numFmtId="164" fontId="0" fillId="0" borderId="1" xfId="1" applyNumberFormat="1" applyFont="1" applyBorder="1" applyAlignment="1">
      <alignment horizontal="center" vertical="center"/>
    </xf>
    <xf numFmtId="165" fontId="0" fillId="0" borderId="1" xfId="1" applyNumberFormat="1" applyFont="1" applyBorder="1" applyAlignment="1">
      <alignment horizontal="center" vertical="center"/>
    </xf>
    <xf numFmtId="165" fontId="0" fillId="0" borderId="1" xfId="0" applyNumberFormat="1" applyBorder="1" applyAlignment="1">
      <alignment horizontal="center" vertical="center"/>
    </xf>
    <xf numFmtId="165" fontId="6" fillId="0" borderId="0" xfId="1" applyNumberFormat="1" applyFont="1" applyAlignment="1">
      <alignment horizontal="center" vertical="center"/>
    </xf>
    <xf numFmtId="165" fontId="6" fillId="0" borderId="0" xfId="0" applyNumberFormat="1" applyFont="1" applyAlignment="1">
      <alignment horizontal="center" vertical="center"/>
    </xf>
    <xf numFmtId="0" fontId="9" fillId="0" borderId="0" xfId="0" applyFont="1" applyAlignment="1">
      <alignment vertical="center"/>
    </xf>
    <xf numFmtId="164" fontId="0" fillId="3" borderId="1" xfId="0" applyNumberFormat="1" applyFill="1" applyBorder="1" applyAlignment="1">
      <alignment horizontal="center" vertical="center"/>
    </xf>
    <xf numFmtId="0" fontId="10" fillId="0" borderId="0" xfId="0" applyFont="1"/>
    <xf numFmtId="0" fontId="10" fillId="0" borderId="0" xfId="0" applyFont="1" applyAlignment="1">
      <alignment horizontal="center"/>
    </xf>
    <xf numFmtId="164" fontId="6" fillId="0" borderId="0" xfId="0" applyNumberFormat="1" applyFont="1" applyAlignment="1">
      <alignment horizontal="center" vertical="center"/>
    </xf>
    <xf numFmtId="0" fontId="11" fillId="0" borderId="0" xfId="0" applyFont="1" applyAlignment="1">
      <alignment vertical="center"/>
    </xf>
    <xf numFmtId="0" fontId="3" fillId="0" borderId="0" xfId="0" applyFont="1" applyAlignment="1">
      <alignment vertical="center" wrapText="1"/>
    </xf>
    <xf numFmtId="0" fontId="3" fillId="0" borderId="1" xfId="0" applyFont="1" applyBorder="1" applyAlignment="1">
      <alignment wrapText="1"/>
    </xf>
    <xf numFmtId="0" fontId="9" fillId="0" borderId="0" xfId="0" applyFont="1" applyAlignment="1">
      <alignment horizontal="right" vertical="center" wrapText="1"/>
    </xf>
    <xf numFmtId="0" fontId="12" fillId="0" borderId="0" xfId="0" applyFont="1" applyAlignment="1">
      <alignment horizontal="center" vertical="center"/>
    </xf>
    <xf numFmtId="0" fontId="9" fillId="0" borderId="0" xfId="0" applyFont="1"/>
    <xf numFmtId="0" fontId="5" fillId="5" borderId="1" xfId="0" applyFont="1" applyFill="1" applyBorder="1" applyAlignment="1">
      <alignment horizontal="center" vertical="center"/>
    </xf>
    <xf numFmtId="6" fontId="5" fillId="5" borderId="1" xfId="0" applyNumberFormat="1" applyFont="1" applyFill="1" applyBorder="1" applyAlignment="1">
      <alignment horizontal="center" vertical="center"/>
    </xf>
    <xf numFmtId="164" fontId="5" fillId="5" borderId="1" xfId="0" applyNumberFormat="1" applyFont="1" applyFill="1" applyBorder="1" applyAlignment="1">
      <alignment vertical="center"/>
    </xf>
    <xf numFmtId="0" fontId="9" fillId="0" borderId="0" xfId="0" applyFont="1" applyAlignment="1">
      <alignment vertical="center" wrapText="1"/>
    </xf>
    <xf numFmtId="0" fontId="9" fillId="8" borderId="0" xfId="0" applyFont="1" applyFill="1" applyAlignment="1">
      <alignment horizontal="right" vertical="center" wrapText="1"/>
    </xf>
    <xf numFmtId="0" fontId="0" fillId="9" borderId="0" xfId="0" applyFill="1" applyAlignment="1">
      <alignment vertical="center"/>
    </xf>
    <xf numFmtId="0" fontId="7" fillId="9" borderId="0" xfId="0" applyFont="1" applyFill="1" applyAlignment="1">
      <alignment horizontal="center" vertical="center"/>
    </xf>
    <xf numFmtId="0" fontId="9" fillId="9" borderId="0" xfId="0" applyFont="1" applyFill="1" applyAlignment="1">
      <alignment horizontal="right" vertical="center" wrapText="1"/>
    </xf>
    <xf numFmtId="164" fontId="6" fillId="9" borderId="0" xfId="0" applyNumberFormat="1" applyFont="1" applyFill="1" applyAlignment="1">
      <alignment horizontal="center" vertical="center"/>
    </xf>
    <xf numFmtId="0" fontId="0" fillId="10" borderId="0" xfId="0" applyFill="1" applyAlignment="1">
      <alignment vertical="center"/>
    </xf>
    <xf numFmtId="0" fontId="0" fillId="6" borderId="0" xfId="0" applyFill="1"/>
    <xf numFmtId="0" fontId="9" fillId="11" borderId="0" xfId="0" applyFont="1" applyFill="1" applyAlignment="1">
      <alignment horizontal="right" vertical="center" wrapText="1"/>
    </xf>
    <xf numFmtId="0" fontId="7" fillId="11" borderId="0" xfId="0" applyFont="1" applyFill="1" applyAlignment="1">
      <alignment horizontal="center" vertical="center"/>
    </xf>
    <xf numFmtId="164" fontId="6" fillId="11" borderId="0" xfId="0" applyNumberFormat="1" applyFont="1" applyFill="1" applyAlignment="1">
      <alignment horizontal="center" vertical="center"/>
    </xf>
    <xf numFmtId="0" fontId="0" fillId="11" borderId="0" xfId="0" applyFill="1" applyAlignment="1">
      <alignment vertical="center"/>
    </xf>
    <xf numFmtId="8" fontId="16" fillId="11" borderId="0" xfId="0" applyNumberFormat="1" applyFont="1" applyFill="1" applyAlignment="1">
      <alignment horizontal="center" vertical="center"/>
    </xf>
    <xf numFmtId="0" fontId="9" fillId="12" borderId="0" xfId="0" applyFont="1" applyFill="1" applyAlignment="1">
      <alignment horizontal="right" vertical="center" wrapText="1"/>
    </xf>
    <xf numFmtId="0" fontId="13" fillId="0" borderId="0" xfId="0" applyFont="1" applyAlignment="1">
      <alignment vertical="center"/>
    </xf>
    <xf numFmtId="164" fontId="13" fillId="7" borderId="0" xfId="0" applyNumberFormat="1" applyFont="1" applyFill="1" applyAlignment="1">
      <alignment horizontal="center" vertical="center"/>
    </xf>
    <xf numFmtId="165" fontId="18" fillId="8" borderId="0" xfId="0" applyNumberFormat="1" applyFont="1" applyFill="1" applyAlignment="1">
      <alignment horizontal="center" vertical="center"/>
    </xf>
    <xf numFmtId="164" fontId="22" fillId="12" borderId="0" xfId="0" applyNumberFormat="1" applyFont="1" applyFill="1" applyAlignment="1">
      <alignment horizontal="center" vertical="center"/>
    </xf>
    <xf numFmtId="164" fontId="23" fillId="10" borderId="0" xfId="0" applyNumberFormat="1" applyFont="1" applyFill="1" applyAlignment="1">
      <alignment horizontal="center" vertical="center"/>
    </xf>
    <xf numFmtId="164" fontId="24" fillId="6" borderId="0" xfId="0" applyNumberFormat="1" applyFont="1" applyFill="1" applyAlignment="1">
      <alignment horizontal="center" vertical="center"/>
    </xf>
    <xf numFmtId="0" fontId="20" fillId="5" borderId="1" xfId="0" applyFont="1" applyFill="1" applyBorder="1" applyAlignment="1">
      <alignment horizontal="center" vertical="center"/>
    </xf>
    <xf numFmtId="0" fontId="25" fillId="11" borderId="1" xfId="0" applyFont="1" applyFill="1" applyBorder="1" applyAlignment="1">
      <alignment horizontal="center" vertical="center"/>
    </xf>
    <xf numFmtId="0" fontId="26" fillId="12" borderId="1" xfId="0" applyFont="1" applyFill="1" applyBorder="1" applyAlignment="1">
      <alignment horizontal="center" vertical="center"/>
    </xf>
    <xf numFmtId="0" fontId="25" fillId="9" borderId="1" xfId="0" applyFont="1" applyFill="1" applyBorder="1" applyAlignment="1">
      <alignment horizontal="center" vertical="center"/>
    </xf>
    <xf numFmtId="0" fontId="25" fillId="6" borderId="1" xfId="0" applyFont="1" applyFill="1" applyBorder="1" applyAlignment="1">
      <alignment horizontal="center" vertical="center"/>
    </xf>
    <xf numFmtId="0" fontId="25" fillId="7" borderId="1" xfId="0" applyFont="1" applyFill="1" applyBorder="1" applyAlignment="1">
      <alignment horizontal="center" vertical="center"/>
    </xf>
    <xf numFmtId="0" fontId="28" fillId="13" borderId="0" xfId="0" applyFont="1" applyFill="1" applyAlignment="1">
      <alignment horizontal="center" vertical="center"/>
    </xf>
    <xf numFmtId="0" fontId="7" fillId="0" borderId="0" xfId="0" applyFont="1" applyAlignment="1">
      <alignment wrapText="1"/>
    </xf>
    <xf numFmtId="0" fontId="0" fillId="0" borderId="4" xfId="0" applyBorder="1" applyAlignment="1">
      <alignment vertical="center" wrapText="1"/>
    </xf>
    <xf numFmtId="0" fontId="7" fillId="0" borderId="0" xfId="0" applyFont="1" applyAlignment="1">
      <alignment horizontal="center" vertical="center"/>
    </xf>
    <xf numFmtId="164" fontId="29" fillId="3" borderId="0" xfId="0" applyNumberFormat="1" applyFont="1" applyFill="1" applyAlignment="1">
      <alignment horizontal="center" vertical="center"/>
    </xf>
    <xf numFmtId="0" fontId="13" fillId="2" borderId="0" xfId="0" applyFont="1" applyFill="1" applyAlignment="1">
      <alignment horizontal="right" vertical="center"/>
    </xf>
    <xf numFmtId="0" fontId="15" fillId="0" borderId="0" xfId="0" applyFont="1" applyAlignment="1">
      <alignment horizontal="center" vertical="center"/>
    </xf>
    <xf numFmtId="0" fontId="21" fillId="0" borderId="0" xfId="0" applyFont="1" applyAlignment="1">
      <alignment horizontal="center" vertical="center"/>
    </xf>
    <xf numFmtId="0" fontId="13" fillId="6" borderId="0" xfId="0" applyFont="1" applyFill="1" applyAlignment="1">
      <alignment horizontal="right" vertical="center"/>
    </xf>
    <xf numFmtId="0" fontId="8" fillId="5" borderId="1" xfId="0" applyFont="1" applyFill="1" applyBorder="1" applyAlignment="1">
      <alignment horizontal="center" vertical="center" wrapText="1"/>
    </xf>
    <xf numFmtId="0" fontId="13" fillId="8" borderId="0" xfId="0" applyFont="1" applyFill="1" applyAlignment="1">
      <alignment horizontal="center" vertical="center" wrapText="1"/>
    </xf>
    <xf numFmtId="0" fontId="13" fillId="10" borderId="0" xfId="0" applyFont="1" applyFill="1" applyAlignment="1">
      <alignment horizontal="center" vertical="center" wrapText="1"/>
    </xf>
    <xf numFmtId="0" fontId="27" fillId="12" borderId="0" xfId="0" applyFont="1" applyFill="1" applyAlignment="1">
      <alignment horizontal="right" vertical="center"/>
    </xf>
    <xf numFmtId="0" fontId="12" fillId="10" borderId="0" xfId="0" applyFont="1" applyFill="1" applyAlignment="1">
      <alignment horizontal="right" vertical="center"/>
    </xf>
    <xf numFmtId="0" fontId="8" fillId="5" borderId="1" xfId="0" applyFont="1" applyFill="1" applyBorder="1" applyAlignment="1">
      <alignment horizontal="center" vertical="center"/>
    </xf>
    <xf numFmtId="0" fontId="15" fillId="8" borderId="0" xfId="0" applyFont="1" applyFill="1" applyAlignment="1">
      <alignment horizontal="right" vertical="center"/>
    </xf>
    <xf numFmtId="0" fontId="7" fillId="9" borderId="0" xfId="0" applyFont="1" applyFill="1" applyAlignment="1">
      <alignment horizontal="center" vertical="center"/>
    </xf>
    <xf numFmtId="0" fontId="9" fillId="4" borderId="1" xfId="0" applyFont="1" applyFill="1" applyBorder="1" applyAlignment="1">
      <alignment horizontal="right" vertical="center" wrapText="1"/>
    </xf>
    <xf numFmtId="0" fontId="7" fillId="11" borderId="0" xfId="0" applyFont="1" applyFill="1" applyAlignment="1">
      <alignment horizontal="center" vertical="center"/>
    </xf>
    <xf numFmtId="0" fontId="17" fillId="11" borderId="1" xfId="0" applyFont="1" applyFill="1" applyBorder="1" applyAlignment="1">
      <alignment horizontal="center" vertical="center"/>
    </xf>
    <xf numFmtId="0" fontId="0" fillId="0" borderId="0" xfId="0" applyAlignment="1">
      <alignment horizontal="center"/>
    </xf>
    <xf numFmtId="0" fontId="9" fillId="4" borderId="2" xfId="0" applyFont="1" applyFill="1" applyBorder="1" applyAlignment="1">
      <alignment horizontal="right"/>
    </xf>
    <xf numFmtId="0" fontId="9" fillId="4" borderId="3" xfId="0" applyFont="1" applyFill="1" applyBorder="1" applyAlignment="1">
      <alignment horizontal="right"/>
    </xf>
    <xf numFmtId="0" fontId="5" fillId="5" borderId="1" xfId="0" applyFont="1" applyFill="1" applyBorder="1" applyAlignment="1">
      <alignment horizontal="center"/>
    </xf>
    <xf numFmtId="0" fontId="30" fillId="5"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10" fillId="0" borderId="0" xfId="0" applyFont="1" applyAlignment="1">
      <alignment horizontal="center" vertical="center"/>
    </xf>
    <xf numFmtId="0" fontId="19" fillId="0" borderId="0" xfId="0" applyFont="1" applyAlignment="1">
      <alignment horizontal="center" vertical="center"/>
    </xf>
    <xf numFmtId="0" fontId="10" fillId="0" borderId="0" xfId="0" applyFont="1" applyAlignment="1">
      <alignment horizontal="center"/>
    </xf>
    <xf numFmtId="0" fontId="0" fillId="14" borderId="0" xfId="0" applyFill="1" applyAlignment="1">
      <alignment vertical="center"/>
    </xf>
    <xf numFmtId="0" fontId="12" fillId="14" borderId="0" xfId="0" applyFont="1" applyFill="1" applyAlignment="1">
      <alignment horizontal="right" vertical="center"/>
    </xf>
    <xf numFmtId="164" fontId="31" fillId="14" borderId="0" xfId="0" applyNumberFormat="1" applyFont="1" applyFill="1"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362204</xdr:colOff>
      <xdr:row>0</xdr:row>
      <xdr:rowOff>37508</xdr:rowOff>
    </xdr:from>
    <xdr:to>
      <xdr:col>1</xdr:col>
      <xdr:colOff>1079500</xdr:colOff>
      <xdr:row>2</xdr:row>
      <xdr:rowOff>84173</xdr:rowOff>
    </xdr:to>
    <xdr:pic>
      <xdr:nvPicPr>
        <xdr:cNvPr id="2" name="Picture 1">
          <a:extLst>
            <a:ext uri="{FF2B5EF4-FFF2-40B4-BE49-F238E27FC236}">
              <a16:creationId xmlns:a16="http://schemas.microsoft.com/office/drawing/2014/main" id="{83C395E7-192E-6DBD-F72A-AF562D6DCF69}"/>
            </a:ext>
          </a:extLst>
        </xdr:cNvPr>
        <xdr:cNvPicPr>
          <a:picLocks noChangeAspect="1"/>
        </xdr:cNvPicPr>
      </xdr:nvPicPr>
      <xdr:blipFill>
        <a:blip xmlns:r="http://schemas.openxmlformats.org/officeDocument/2006/relationships" r:embed="rId1"/>
        <a:stretch>
          <a:fillRect/>
        </a:stretch>
      </xdr:blipFill>
      <xdr:spPr>
        <a:xfrm>
          <a:off x="514604" y="37508"/>
          <a:ext cx="717296" cy="8340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9F0FE-630F-8A4C-AAFD-1714432C4023}">
  <dimension ref="B1:H53"/>
  <sheetViews>
    <sheetView tabSelected="1" workbookViewId="0">
      <selection activeCell="L48" sqref="L48"/>
    </sheetView>
  </sheetViews>
  <sheetFormatPr baseColWidth="10" defaultRowHeight="16" x14ac:dyDescent="0.2"/>
  <cols>
    <col min="1" max="1" width="2" customWidth="1"/>
    <col min="2" max="2" width="18.83203125" customWidth="1"/>
    <col min="3" max="3" width="9.5" customWidth="1"/>
    <col min="4" max="4" width="13.1640625" customWidth="1"/>
    <col min="8" max="8" width="2" customWidth="1"/>
  </cols>
  <sheetData>
    <row r="1" spans="2:8" ht="12" customHeight="1" x14ac:dyDescent="0.2"/>
    <row r="2" spans="2:8" ht="50" customHeight="1" x14ac:dyDescent="0.2">
      <c r="C2" s="67" t="s">
        <v>82</v>
      </c>
      <c r="D2" s="67"/>
      <c r="E2" s="67"/>
      <c r="F2" s="67"/>
      <c r="G2" s="67"/>
    </row>
    <row r="3" spans="2:8" ht="12" customHeight="1" x14ac:dyDescent="0.2"/>
    <row r="4" spans="2:8" ht="20" customHeight="1" x14ac:dyDescent="0.25">
      <c r="B4" s="81" t="s">
        <v>36</v>
      </c>
      <c r="C4" s="82"/>
      <c r="D4" s="83" t="s">
        <v>75</v>
      </c>
      <c r="E4" s="83"/>
      <c r="F4" s="83"/>
      <c r="G4" s="30"/>
    </row>
    <row r="5" spans="2:8" ht="20" customHeight="1" x14ac:dyDescent="0.25">
      <c r="B5" s="81" t="s">
        <v>37</v>
      </c>
      <c r="C5" s="82"/>
      <c r="D5" s="83" t="s">
        <v>59</v>
      </c>
      <c r="E5" s="83"/>
      <c r="F5" s="83"/>
      <c r="G5" s="30"/>
    </row>
    <row r="6" spans="2:8" ht="20" customHeight="1" x14ac:dyDescent="0.25">
      <c r="B6" s="81" t="s">
        <v>38</v>
      </c>
      <c r="C6" s="82"/>
      <c r="D6" s="83" t="s">
        <v>60</v>
      </c>
      <c r="E6" s="83"/>
      <c r="F6" s="83"/>
      <c r="G6" s="30"/>
    </row>
    <row r="7" spans="2:8" ht="20" customHeight="1" x14ac:dyDescent="0.25">
      <c r="B7" s="81" t="s">
        <v>50</v>
      </c>
      <c r="C7" s="82"/>
      <c r="D7" s="83" t="s">
        <v>61</v>
      </c>
      <c r="E7" s="83"/>
      <c r="F7" s="83"/>
      <c r="G7" s="30"/>
    </row>
    <row r="8" spans="2:8" ht="16" customHeight="1" x14ac:dyDescent="0.2">
      <c r="F8" s="80"/>
      <c r="G8" s="80"/>
    </row>
    <row r="9" spans="2:8" s="2" customFormat="1" ht="20" customHeight="1" x14ac:dyDescent="0.2">
      <c r="B9" s="77" t="s">
        <v>51</v>
      </c>
      <c r="C9" s="77"/>
      <c r="D9" s="31" t="s">
        <v>58</v>
      </c>
      <c r="F9" s="63"/>
    </row>
    <row r="10" spans="2:8" s="2" customFormat="1" ht="20" customHeight="1" x14ac:dyDescent="0.2">
      <c r="B10" s="77" t="s">
        <v>53</v>
      </c>
      <c r="C10" s="77"/>
      <c r="D10" s="32">
        <v>20</v>
      </c>
      <c r="F10" s="85" t="s">
        <v>109</v>
      </c>
      <c r="G10" s="85"/>
    </row>
    <row r="11" spans="2:8" s="2" customFormat="1" ht="20" customHeight="1" x14ac:dyDescent="0.2">
      <c r="B11" s="77" t="s">
        <v>52</v>
      </c>
      <c r="C11" s="77"/>
      <c r="D11" s="31">
        <v>100</v>
      </c>
      <c r="E11" s="62"/>
      <c r="F11" s="84" t="s">
        <v>108</v>
      </c>
      <c r="G11" s="84"/>
    </row>
    <row r="12" spans="2:8" s="2" customFormat="1" ht="20" customHeight="1" x14ac:dyDescent="0.2">
      <c r="B12" s="77" t="s">
        <v>54</v>
      </c>
      <c r="C12" s="77"/>
      <c r="D12" s="31">
        <v>3.5</v>
      </c>
      <c r="E12" s="62"/>
      <c r="F12" s="84"/>
      <c r="G12" s="84"/>
    </row>
    <row r="13" spans="2:8" s="2" customFormat="1" ht="20" customHeight="1" x14ac:dyDescent="0.2">
      <c r="B13" s="77" t="s">
        <v>55</v>
      </c>
      <c r="C13" s="77"/>
      <c r="D13" s="31">
        <v>10</v>
      </c>
    </row>
    <row r="14" spans="2:8" s="2" customFormat="1" ht="12" customHeight="1" x14ac:dyDescent="0.2">
      <c r="B14" s="28"/>
      <c r="C14" s="29"/>
    </row>
    <row r="15" spans="2:8" s="2" customFormat="1" ht="30" customHeight="1" x14ac:dyDescent="0.2">
      <c r="B15" s="70" t="s">
        <v>49</v>
      </c>
      <c r="C15" s="70"/>
      <c r="D15" s="70"/>
      <c r="E15" s="70"/>
      <c r="F15" s="70"/>
      <c r="G15" s="70"/>
      <c r="H15" s="34"/>
    </row>
    <row r="16" spans="2:8" s="2" customFormat="1" ht="22" customHeight="1" x14ac:dyDescent="0.2">
      <c r="B16" s="42"/>
      <c r="C16" s="78" t="s">
        <v>1</v>
      </c>
      <c r="D16" s="78"/>
      <c r="E16" s="43" t="s">
        <v>39</v>
      </c>
      <c r="F16" s="43" t="s">
        <v>48</v>
      </c>
      <c r="G16" s="43" t="s">
        <v>47</v>
      </c>
    </row>
    <row r="17" spans="2:8" s="2" customFormat="1" ht="36" customHeight="1" x14ac:dyDescent="0.2">
      <c r="B17" s="42" t="s">
        <v>62</v>
      </c>
      <c r="C17" s="79" t="str">
        <f>D4</f>
        <v>Example Part 1</v>
      </c>
      <c r="D17" s="79"/>
      <c r="E17" s="31">
        <v>1</v>
      </c>
      <c r="F17" s="46">
        <f>(D11/1000)*D10*'Adv. Inputs'!C4</f>
        <v>2.2000000000000002</v>
      </c>
      <c r="G17" s="44">
        <f>F17*E17</f>
        <v>2.2000000000000002</v>
      </c>
    </row>
    <row r="18" spans="2:8" s="2" customFormat="1" ht="36" customHeight="1" x14ac:dyDescent="0.2">
      <c r="B18" s="42" t="s">
        <v>40</v>
      </c>
      <c r="C18" s="74" t="s">
        <v>57</v>
      </c>
      <c r="D18" s="74"/>
      <c r="E18" s="31"/>
      <c r="F18" s="33"/>
      <c r="G18" s="44">
        <f>E18*F18</f>
        <v>0</v>
      </c>
    </row>
    <row r="19" spans="2:8" s="2" customFormat="1" ht="36" customHeight="1" x14ac:dyDescent="0.2">
      <c r="B19" s="42" t="s">
        <v>41</v>
      </c>
      <c r="C19" s="74" t="s">
        <v>57</v>
      </c>
      <c r="D19" s="74"/>
      <c r="E19" s="31"/>
      <c r="F19" s="33"/>
      <c r="G19" s="44">
        <f t="shared" ref="G19:G24" si="0">E19*F19</f>
        <v>0</v>
      </c>
    </row>
    <row r="20" spans="2:8" s="2" customFormat="1" ht="36" customHeight="1" x14ac:dyDescent="0.2">
      <c r="B20" s="42" t="s">
        <v>42</v>
      </c>
      <c r="C20" s="74" t="s">
        <v>57</v>
      </c>
      <c r="D20" s="74"/>
      <c r="E20" s="31"/>
      <c r="F20" s="33"/>
      <c r="G20" s="44">
        <f t="shared" si="0"/>
        <v>0</v>
      </c>
    </row>
    <row r="21" spans="2:8" s="2" customFormat="1" ht="36" customHeight="1" x14ac:dyDescent="0.2">
      <c r="B21" s="42" t="s">
        <v>43</v>
      </c>
      <c r="C21" s="74" t="s">
        <v>57</v>
      </c>
      <c r="D21" s="74"/>
      <c r="E21" s="31"/>
      <c r="F21" s="33"/>
      <c r="G21" s="44">
        <f t="shared" si="0"/>
        <v>0</v>
      </c>
    </row>
    <row r="22" spans="2:8" s="2" customFormat="1" ht="36" customHeight="1" x14ac:dyDescent="0.2">
      <c r="B22" s="42" t="s">
        <v>44</v>
      </c>
      <c r="C22" s="74" t="s">
        <v>57</v>
      </c>
      <c r="D22" s="74"/>
      <c r="E22" s="31"/>
      <c r="F22" s="33"/>
      <c r="G22" s="44">
        <f t="shared" si="0"/>
        <v>0</v>
      </c>
    </row>
    <row r="23" spans="2:8" s="2" customFormat="1" ht="36" customHeight="1" x14ac:dyDescent="0.2">
      <c r="B23" s="42" t="s">
        <v>45</v>
      </c>
      <c r="C23" s="74" t="s">
        <v>57</v>
      </c>
      <c r="D23" s="74"/>
      <c r="E23" s="31"/>
      <c r="F23" s="33"/>
      <c r="G23" s="44">
        <f>E23*F23</f>
        <v>0</v>
      </c>
    </row>
    <row r="24" spans="2:8" s="2" customFormat="1" ht="36" customHeight="1" x14ac:dyDescent="0.2">
      <c r="B24" s="42" t="s">
        <v>46</v>
      </c>
      <c r="C24" s="74" t="s">
        <v>57</v>
      </c>
      <c r="D24" s="74"/>
      <c r="E24" s="31"/>
      <c r="F24" s="33"/>
      <c r="G24" s="44">
        <f t="shared" si="0"/>
        <v>0</v>
      </c>
    </row>
    <row r="25" spans="2:8" s="2" customFormat="1" ht="11" customHeight="1" x14ac:dyDescent="0.2">
      <c r="B25" s="42"/>
      <c r="C25" s="45"/>
      <c r="D25" s="45"/>
      <c r="E25" s="45"/>
      <c r="F25" s="45"/>
      <c r="G25" s="45"/>
    </row>
    <row r="26" spans="2:8" s="2" customFormat="1" ht="30" customHeight="1" x14ac:dyDescent="0.2">
      <c r="B26" s="35"/>
      <c r="C26" s="75" t="s">
        <v>71</v>
      </c>
      <c r="D26" s="75"/>
      <c r="E26" s="75"/>
      <c r="F26" s="75"/>
      <c r="G26" s="50">
        <f>SUM(G17:G24)</f>
        <v>2.2000000000000002</v>
      </c>
    </row>
    <row r="27" spans="2:8" s="2" customFormat="1" ht="12" customHeight="1" x14ac:dyDescent="0.2">
      <c r="B27" s="28"/>
    </row>
    <row r="28" spans="2:8" s="2" customFormat="1" ht="30" customHeight="1" x14ac:dyDescent="0.2">
      <c r="B28" s="47"/>
      <c r="C28" s="72" t="s">
        <v>72</v>
      </c>
      <c r="D28" s="72"/>
      <c r="E28" s="72"/>
      <c r="F28" s="72"/>
      <c r="G28" s="51">
        <f>(D13/60)*'Adv. Inputs'!C6</f>
        <v>3.333333333333333</v>
      </c>
    </row>
    <row r="29" spans="2:8" s="2" customFormat="1" ht="12" customHeight="1" x14ac:dyDescent="0.2">
      <c r="B29" s="28"/>
    </row>
    <row r="30" spans="2:8" s="2" customFormat="1" ht="30" customHeight="1" x14ac:dyDescent="0.2">
      <c r="B30" s="71" t="s">
        <v>63</v>
      </c>
      <c r="C30" s="71"/>
      <c r="D30" s="71"/>
      <c r="E30" s="71"/>
      <c r="F30" s="71"/>
      <c r="G30" s="71"/>
      <c r="H30" s="34"/>
    </row>
    <row r="31" spans="2:8" s="2" customFormat="1" ht="22" customHeight="1" x14ac:dyDescent="0.2">
      <c r="B31" s="36"/>
      <c r="C31" s="76" t="s">
        <v>1</v>
      </c>
      <c r="D31" s="76"/>
      <c r="E31" s="37" t="s">
        <v>39</v>
      </c>
      <c r="F31" s="37" t="s">
        <v>48</v>
      </c>
      <c r="G31" s="37" t="s">
        <v>47</v>
      </c>
    </row>
    <row r="32" spans="2:8" s="2" customFormat="1" ht="36" customHeight="1" x14ac:dyDescent="0.2">
      <c r="B32" s="38" t="s">
        <v>64</v>
      </c>
      <c r="C32" s="74" t="s">
        <v>57</v>
      </c>
      <c r="D32" s="74"/>
      <c r="E32" s="31"/>
      <c r="F32" s="33"/>
      <c r="G32" s="39">
        <f>E32*F32</f>
        <v>0</v>
      </c>
    </row>
    <row r="33" spans="2:7" s="2" customFormat="1" ht="36" customHeight="1" x14ac:dyDescent="0.2">
      <c r="B33" s="38" t="s">
        <v>65</v>
      </c>
      <c r="C33" s="74" t="s">
        <v>57</v>
      </c>
      <c r="D33" s="74"/>
      <c r="E33" s="31"/>
      <c r="F33" s="33"/>
      <c r="G33" s="39">
        <f t="shared" ref="G33:G36" si="1">E33*F33</f>
        <v>0</v>
      </c>
    </row>
    <row r="34" spans="2:7" s="2" customFormat="1" ht="36" customHeight="1" x14ac:dyDescent="0.2">
      <c r="B34" s="38" t="s">
        <v>66</v>
      </c>
      <c r="C34" s="74" t="s">
        <v>57</v>
      </c>
      <c r="D34" s="74"/>
      <c r="E34" s="31"/>
      <c r="F34" s="33"/>
      <c r="G34" s="39">
        <f t="shared" si="1"/>
        <v>0</v>
      </c>
    </row>
    <row r="35" spans="2:7" s="2" customFormat="1" ht="36" customHeight="1" x14ac:dyDescent="0.2">
      <c r="B35" s="38" t="s">
        <v>67</v>
      </c>
      <c r="C35" s="74" t="s">
        <v>57</v>
      </c>
      <c r="D35" s="74"/>
      <c r="E35" s="31"/>
      <c r="F35" s="33"/>
      <c r="G35" s="39">
        <f t="shared" si="1"/>
        <v>0</v>
      </c>
    </row>
    <row r="36" spans="2:7" s="2" customFormat="1" ht="36" customHeight="1" x14ac:dyDescent="0.2">
      <c r="B36" s="38" t="s">
        <v>68</v>
      </c>
      <c r="C36" s="74" t="s">
        <v>57</v>
      </c>
      <c r="D36" s="74"/>
      <c r="E36" s="31"/>
      <c r="F36" s="33"/>
      <c r="G36" s="39">
        <f t="shared" si="1"/>
        <v>0</v>
      </c>
    </row>
    <row r="37" spans="2:7" s="2" customFormat="1" ht="36" customHeight="1" x14ac:dyDescent="0.2">
      <c r="B37" s="38" t="s">
        <v>69</v>
      </c>
      <c r="C37" s="74" t="s">
        <v>57</v>
      </c>
      <c r="D37" s="74"/>
      <c r="E37" s="31"/>
      <c r="F37" s="33"/>
      <c r="G37" s="39">
        <f>E37*F37</f>
        <v>0</v>
      </c>
    </row>
    <row r="38" spans="2:7" s="2" customFormat="1" ht="36" customHeight="1" x14ac:dyDescent="0.2">
      <c r="B38" s="38" t="s">
        <v>70</v>
      </c>
      <c r="C38" s="74" t="s">
        <v>57</v>
      </c>
      <c r="D38" s="74"/>
      <c r="E38" s="31"/>
      <c r="F38" s="33"/>
      <c r="G38" s="39">
        <f>E38*F38</f>
        <v>0</v>
      </c>
    </row>
    <row r="39" spans="2:7" s="2" customFormat="1" ht="36" customHeight="1" x14ac:dyDescent="0.2">
      <c r="B39" s="38" t="s">
        <v>73</v>
      </c>
      <c r="C39" s="69" t="s">
        <v>76</v>
      </c>
      <c r="D39" s="69"/>
      <c r="E39" s="31">
        <v>1</v>
      </c>
      <c r="F39" s="33"/>
      <c r="G39" s="39">
        <f t="shared" ref="G39" si="2">E39*F39</f>
        <v>0</v>
      </c>
    </row>
    <row r="40" spans="2:7" s="2" customFormat="1" ht="12" customHeight="1" x14ac:dyDescent="0.2">
      <c r="B40" s="36"/>
      <c r="C40" s="36"/>
      <c r="D40" s="36"/>
      <c r="E40" s="36"/>
      <c r="F40" s="36"/>
      <c r="G40" s="36"/>
    </row>
    <row r="41" spans="2:7" s="2" customFormat="1" ht="30" customHeight="1" x14ac:dyDescent="0.2">
      <c r="B41" s="40"/>
      <c r="C41" s="73" t="s">
        <v>74</v>
      </c>
      <c r="D41" s="73"/>
      <c r="E41" s="73"/>
      <c r="F41" s="73"/>
      <c r="G41" s="52">
        <f>SUM(G32:G39)</f>
        <v>0</v>
      </c>
    </row>
    <row r="42" spans="2:7" s="2" customFormat="1" ht="12" customHeight="1" x14ac:dyDescent="0.2"/>
    <row r="43" spans="2:7" s="2" customFormat="1" ht="30" customHeight="1" x14ac:dyDescent="0.2">
      <c r="B43" s="90"/>
      <c r="C43" s="91" t="s">
        <v>110</v>
      </c>
      <c r="D43" s="91"/>
      <c r="E43" s="91"/>
      <c r="F43" s="91"/>
      <c r="G43" s="92">
        <f>D12*'Adv. Inputs'!C5</f>
        <v>0.51973188736681886</v>
      </c>
    </row>
    <row r="44" spans="2:7" s="2" customFormat="1" ht="12" customHeight="1" x14ac:dyDescent="0.2"/>
    <row r="45" spans="2:7" ht="30" customHeight="1" x14ac:dyDescent="0.2">
      <c r="B45" s="41"/>
      <c r="C45" s="68" t="s">
        <v>77</v>
      </c>
      <c r="D45" s="68"/>
      <c r="E45" s="68"/>
      <c r="F45" s="68"/>
      <c r="G45" s="53">
        <f>G26+G28+G43+G41</f>
        <v>6.0530652207001516</v>
      </c>
    </row>
    <row r="46" spans="2:7" ht="12" customHeight="1" x14ac:dyDescent="0.2"/>
    <row r="47" spans="2:7" ht="26" customHeight="1" x14ac:dyDescent="0.2">
      <c r="B47" s="66" t="s">
        <v>81</v>
      </c>
      <c r="C47" s="66"/>
      <c r="D47" s="66"/>
      <c r="E47" s="66"/>
      <c r="F47" s="66"/>
      <c r="G47" s="66"/>
    </row>
    <row r="48" spans="2:7" ht="12" customHeight="1" x14ac:dyDescent="0.2"/>
    <row r="49" spans="3:7" ht="30" customHeight="1" x14ac:dyDescent="0.2">
      <c r="D49" s="48"/>
      <c r="E49" s="65" t="s">
        <v>78</v>
      </c>
      <c r="F49" s="65"/>
      <c r="G49" s="49">
        <f>G45/(1-(50/100))</f>
        <v>12.106130441400303</v>
      </c>
    </row>
    <row r="50" spans="3:7" ht="10" customHeight="1" x14ac:dyDescent="0.2">
      <c r="C50" s="48"/>
      <c r="D50" s="48"/>
      <c r="E50" s="48"/>
      <c r="F50" s="48"/>
    </row>
    <row r="51" spans="3:7" ht="30" customHeight="1" x14ac:dyDescent="0.2">
      <c r="D51" s="65" t="s">
        <v>80</v>
      </c>
      <c r="E51" s="65"/>
      <c r="F51" s="65"/>
      <c r="G51" s="49">
        <f>$G$45/(1-(60/100))</f>
        <v>15.132663051750379</v>
      </c>
    </row>
    <row r="52" spans="3:7" ht="12" customHeight="1" x14ac:dyDescent="0.2"/>
    <row r="53" spans="3:7" ht="30" customHeight="1" x14ac:dyDescent="0.2">
      <c r="C53" s="65" t="s">
        <v>79</v>
      </c>
      <c r="D53" s="65"/>
      <c r="E53" s="65"/>
      <c r="F53" s="65"/>
      <c r="G53" s="49">
        <f>$G$45/(1-(70/100))</f>
        <v>20.176884069000501</v>
      </c>
    </row>
  </sheetData>
  <mergeCells count="46">
    <mergeCell ref="C43:F43"/>
    <mergeCell ref="B11:C11"/>
    <mergeCell ref="F8:G8"/>
    <mergeCell ref="B4:C4"/>
    <mergeCell ref="B5:C5"/>
    <mergeCell ref="B6:C6"/>
    <mergeCell ref="B7:C7"/>
    <mergeCell ref="D4:F4"/>
    <mergeCell ref="F11:G12"/>
    <mergeCell ref="F10:G10"/>
    <mergeCell ref="D5:F5"/>
    <mergeCell ref="D6:F6"/>
    <mergeCell ref="D7:F7"/>
    <mergeCell ref="B9:C9"/>
    <mergeCell ref="B10:C10"/>
    <mergeCell ref="C20:D20"/>
    <mergeCell ref="C21:D21"/>
    <mergeCell ref="C22:D22"/>
    <mergeCell ref="C23:D23"/>
    <mergeCell ref="B12:C12"/>
    <mergeCell ref="B13:C13"/>
    <mergeCell ref="C16:D16"/>
    <mergeCell ref="C17:D17"/>
    <mergeCell ref="C18:D18"/>
    <mergeCell ref="C19:D19"/>
    <mergeCell ref="C36:D36"/>
    <mergeCell ref="C37:D37"/>
    <mergeCell ref="C24:D24"/>
    <mergeCell ref="C26:F26"/>
    <mergeCell ref="C31:D31"/>
    <mergeCell ref="C53:F53"/>
    <mergeCell ref="B47:G47"/>
    <mergeCell ref="C2:G2"/>
    <mergeCell ref="C45:F45"/>
    <mergeCell ref="E49:F49"/>
    <mergeCell ref="D51:F51"/>
    <mergeCell ref="C39:D39"/>
    <mergeCell ref="B15:G15"/>
    <mergeCell ref="B30:G30"/>
    <mergeCell ref="C28:F28"/>
    <mergeCell ref="C41:F41"/>
    <mergeCell ref="C38:D38"/>
    <mergeCell ref="C32:D32"/>
    <mergeCell ref="C33:D33"/>
    <mergeCell ref="C34:D34"/>
    <mergeCell ref="C35:D35"/>
  </mergeCells>
  <phoneticPr fontId="14" type="noConversion"/>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09EA6-0E42-A44B-96A4-F6684810F1A6}">
  <dimension ref="B1:E38"/>
  <sheetViews>
    <sheetView topLeftCell="A8" workbookViewId="0">
      <selection activeCell="K16" sqref="K16"/>
    </sheetView>
  </sheetViews>
  <sheetFormatPr baseColWidth="10" defaultRowHeight="16" x14ac:dyDescent="0.2"/>
  <cols>
    <col min="1" max="1" width="2" customWidth="1"/>
    <col min="2" max="2" width="4.1640625" customWidth="1"/>
    <col min="3" max="3" width="25.1640625" customWidth="1"/>
    <col min="4" max="4" width="2" customWidth="1"/>
    <col min="5" max="5" width="49.33203125" customWidth="1"/>
    <col min="6" max="6" width="2" customWidth="1"/>
  </cols>
  <sheetData>
    <row r="1" spans="2:5" ht="12" customHeight="1" x14ac:dyDescent="0.2"/>
    <row r="2" spans="2:5" ht="30" customHeight="1" x14ac:dyDescent="0.2">
      <c r="C2" s="88" t="s">
        <v>83</v>
      </c>
      <c r="D2" s="88"/>
      <c r="E2" s="88"/>
    </row>
    <row r="3" spans="2:5" ht="12" customHeight="1" x14ac:dyDescent="0.2"/>
    <row r="4" spans="2:5" ht="21" customHeight="1" x14ac:dyDescent="0.2">
      <c r="C4" s="87" t="s">
        <v>85</v>
      </c>
      <c r="D4" s="87"/>
      <c r="E4" s="87"/>
    </row>
    <row r="5" spans="2:5" ht="32" customHeight="1" x14ac:dyDescent="0.2">
      <c r="C5" s="54" t="s">
        <v>86</v>
      </c>
      <c r="E5" s="61" t="s">
        <v>93</v>
      </c>
    </row>
    <row r="6" spans="2:5" ht="32" customHeight="1" x14ac:dyDescent="0.2">
      <c r="C6" s="55" t="s">
        <v>87</v>
      </c>
      <c r="E6" s="61" t="s">
        <v>94</v>
      </c>
    </row>
    <row r="7" spans="2:5" ht="32" customHeight="1" x14ac:dyDescent="0.2">
      <c r="C7" s="56" t="s">
        <v>88</v>
      </c>
      <c r="E7" s="61" t="s">
        <v>95</v>
      </c>
    </row>
    <row r="8" spans="2:5" ht="32" customHeight="1" x14ac:dyDescent="0.2">
      <c r="C8" s="57" t="s">
        <v>89</v>
      </c>
      <c r="E8" s="61" t="s">
        <v>96</v>
      </c>
    </row>
    <row r="9" spans="2:5" ht="32" customHeight="1" x14ac:dyDescent="0.2">
      <c r="C9" s="58" t="s">
        <v>90</v>
      </c>
      <c r="E9" s="61" t="s">
        <v>97</v>
      </c>
    </row>
    <row r="10" spans="2:5" ht="32" customHeight="1" x14ac:dyDescent="0.2">
      <c r="C10" s="59" t="s">
        <v>91</v>
      </c>
      <c r="E10" s="61" t="s">
        <v>98</v>
      </c>
    </row>
    <row r="11" spans="2:5" ht="32" customHeight="1" x14ac:dyDescent="0.2">
      <c r="C11" s="60" t="s">
        <v>92</v>
      </c>
      <c r="E11" s="61" t="s">
        <v>99</v>
      </c>
    </row>
    <row r="12" spans="2:5" ht="12" customHeight="1" x14ac:dyDescent="0.2"/>
    <row r="13" spans="2:5" ht="20" customHeight="1" x14ac:dyDescent="0.2">
      <c r="C13" s="87" t="s">
        <v>102</v>
      </c>
      <c r="D13" s="87"/>
      <c r="E13" s="87"/>
    </row>
    <row r="14" spans="2:5" ht="12" customHeight="1" x14ac:dyDescent="0.2"/>
    <row r="15" spans="2:5" ht="51" customHeight="1" x14ac:dyDescent="0.2">
      <c r="B15" s="4">
        <v>1</v>
      </c>
      <c r="C15" s="86" t="s">
        <v>84</v>
      </c>
      <c r="D15" s="86"/>
      <c r="E15" s="86"/>
    </row>
    <row r="16" spans="2:5" ht="40" customHeight="1" x14ac:dyDescent="0.2">
      <c r="B16" s="4">
        <v>2</v>
      </c>
      <c r="C16" s="86" t="s">
        <v>100</v>
      </c>
      <c r="D16" s="86"/>
      <c r="E16" s="86"/>
    </row>
    <row r="17" spans="2:5" ht="34" customHeight="1" x14ac:dyDescent="0.2">
      <c r="B17" s="4">
        <v>3</v>
      </c>
      <c r="C17" s="86" t="s">
        <v>101</v>
      </c>
      <c r="D17" s="86"/>
      <c r="E17" s="86"/>
    </row>
    <row r="18" spans="2:5" ht="49" customHeight="1" x14ac:dyDescent="0.2">
      <c r="B18" s="4">
        <v>4</v>
      </c>
      <c r="C18" s="86" t="s">
        <v>103</v>
      </c>
      <c r="D18" s="86"/>
      <c r="E18" s="86"/>
    </row>
    <row r="19" spans="2:5" ht="70" customHeight="1" x14ac:dyDescent="0.2">
      <c r="B19" s="4">
        <v>5</v>
      </c>
      <c r="C19" s="86" t="s">
        <v>104</v>
      </c>
      <c r="D19" s="86"/>
      <c r="E19" s="86"/>
    </row>
    <row r="20" spans="2:5" ht="48" customHeight="1" x14ac:dyDescent="0.2">
      <c r="B20" s="4">
        <v>6</v>
      </c>
      <c r="C20" s="86" t="s">
        <v>105</v>
      </c>
      <c r="D20" s="86"/>
      <c r="E20" s="86"/>
    </row>
    <row r="21" spans="2:5" ht="39" customHeight="1" x14ac:dyDescent="0.2">
      <c r="B21" s="4">
        <v>7</v>
      </c>
      <c r="C21" s="86" t="s">
        <v>106</v>
      </c>
      <c r="D21" s="86"/>
      <c r="E21" s="86"/>
    </row>
    <row r="22" spans="2:5" ht="12" customHeight="1" x14ac:dyDescent="0.2">
      <c r="B22" s="4"/>
      <c r="C22" s="1"/>
    </row>
    <row r="23" spans="2:5" x14ac:dyDescent="0.2">
      <c r="B23" s="4"/>
      <c r="C23" s="1"/>
    </row>
    <row r="24" spans="2:5" x14ac:dyDescent="0.2">
      <c r="B24" s="4"/>
      <c r="C24" s="1"/>
    </row>
    <row r="25" spans="2:5" x14ac:dyDescent="0.2">
      <c r="B25" s="4"/>
      <c r="C25" s="1"/>
    </row>
    <row r="26" spans="2:5" x14ac:dyDescent="0.2">
      <c r="B26" s="4"/>
      <c r="C26" s="1"/>
    </row>
    <row r="27" spans="2:5" x14ac:dyDescent="0.2">
      <c r="B27" s="4"/>
      <c r="C27" s="1"/>
    </row>
    <row r="28" spans="2:5" x14ac:dyDescent="0.2">
      <c r="B28" s="4"/>
      <c r="C28" s="1"/>
    </row>
    <row r="29" spans="2:5" x14ac:dyDescent="0.2">
      <c r="B29" s="4"/>
      <c r="C29" s="1"/>
    </row>
    <row r="30" spans="2:5" x14ac:dyDescent="0.2">
      <c r="B30" s="4"/>
      <c r="C30" s="1"/>
    </row>
    <row r="31" spans="2:5" x14ac:dyDescent="0.2">
      <c r="C31" s="1"/>
    </row>
    <row r="32" spans="2:5" x14ac:dyDescent="0.2">
      <c r="C32" s="1"/>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sheetData>
  <mergeCells count="10">
    <mergeCell ref="C2:E2"/>
    <mergeCell ref="C16:E16"/>
    <mergeCell ref="C17:E17"/>
    <mergeCell ref="C18:E18"/>
    <mergeCell ref="C19:E19"/>
    <mergeCell ref="C20:E20"/>
    <mergeCell ref="C13:E13"/>
    <mergeCell ref="C21:E21"/>
    <mergeCell ref="C4:E4"/>
    <mergeCell ref="C15:E15"/>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1EAD6-5532-5746-BD1B-929E2F11D742}">
  <dimension ref="B1:H37"/>
  <sheetViews>
    <sheetView workbookViewId="0">
      <selection activeCell="J15" sqref="J15"/>
    </sheetView>
  </sheetViews>
  <sheetFormatPr baseColWidth="10" defaultRowHeight="16" x14ac:dyDescent="0.2"/>
  <cols>
    <col min="1" max="1" width="2" customWidth="1"/>
    <col min="2" max="2" width="30.83203125" customWidth="1"/>
    <col min="3" max="3" width="11.6640625" style="3" customWidth="1"/>
    <col min="4" max="4" width="2" customWidth="1"/>
    <col min="5" max="5" width="69" customWidth="1"/>
    <col min="6" max="6" width="2" customWidth="1"/>
  </cols>
  <sheetData>
    <row r="1" spans="2:8" ht="19" x14ac:dyDescent="0.25">
      <c r="B1" s="89" t="s">
        <v>56</v>
      </c>
      <c r="C1" s="89"/>
      <c r="D1" s="89"/>
      <c r="E1" s="89"/>
    </row>
    <row r="2" spans="2:8" ht="9" customHeight="1" x14ac:dyDescent="0.2"/>
    <row r="3" spans="2:8" ht="28" customHeight="1" x14ac:dyDescent="0.25">
      <c r="B3" s="22" t="s">
        <v>1</v>
      </c>
      <c r="C3" s="23" t="s">
        <v>2</v>
      </c>
      <c r="D3" s="22"/>
      <c r="E3" s="22" t="s">
        <v>3</v>
      </c>
    </row>
    <row r="4" spans="2:8" ht="32" x14ac:dyDescent="0.2">
      <c r="B4" s="13" t="s">
        <v>0</v>
      </c>
      <c r="C4" s="8">
        <v>1.1000000000000001</v>
      </c>
      <c r="E4" s="27" t="s">
        <v>4</v>
      </c>
    </row>
    <row r="5" spans="2:8" ht="48" x14ac:dyDescent="0.2">
      <c r="B5" s="13" t="s">
        <v>34</v>
      </c>
      <c r="C5" s="21">
        <f>C29</f>
        <v>0.14849482496194824</v>
      </c>
      <c r="E5" s="27" t="s">
        <v>5</v>
      </c>
    </row>
    <row r="6" spans="2:8" ht="32" x14ac:dyDescent="0.2">
      <c r="B6" s="13" t="s">
        <v>33</v>
      </c>
      <c r="C6" s="17">
        <v>20</v>
      </c>
      <c r="E6" s="27" t="s">
        <v>35</v>
      </c>
    </row>
    <row r="7" spans="2:8" x14ac:dyDescent="0.2">
      <c r="B7" s="9"/>
      <c r="C7" s="10"/>
      <c r="E7" s="11"/>
    </row>
    <row r="8" spans="2:8" x14ac:dyDescent="0.2">
      <c r="B8" s="9"/>
      <c r="C8" s="10"/>
      <c r="E8" s="11"/>
      <c r="H8" s="14"/>
    </row>
    <row r="9" spans="2:8" ht="19" x14ac:dyDescent="0.2">
      <c r="B9" s="87" t="s">
        <v>107</v>
      </c>
      <c r="C9" s="87"/>
      <c r="D9" s="87"/>
      <c r="E9" s="87"/>
    </row>
    <row r="10" spans="2:8" ht="9" customHeight="1" x14ac:dyDescent="0.2"/>
    <row r="11" spans="2:8" x14ac:dyDescent="0.2">
      <c r="B11" s="2" t="s">
        <v>6</v>
      </c>
      <c r="C11" s="16">
        <v>1000</v>
      </c>
      <c r="D11" s="2"/>
      <c r="E11" s="26" t="s">
        <v>9</v>
      </c>
    </row>
    <row r="12" spans="2:8" x14ac:dyDescent="0.2">
      <c r="B12" s="2" t="s">
        <v>7</v>
      </c>
      <c r="C12" s="16">
        <v>0</v>
      </c>
      <c r="D12" s="2"/>
      <c r="E12" s="26" t="s">
        <v>8</v>
      </c>
    </row>
    <row r="13" spans="2:8" x14ac:dyDescent="0.2">
      <c r="B13" s="5" t="s">
        <v>10</v>
      </c>
      <c r="C13" s="18">
        <f>C11+C12</f>
        <v>1000</v>
      </c>
      <c r="D13" s="2"/>
      <c r="E13" s="25" t="s">
        <v>11</v>
      </c>
    </row>
    <row r="14" spans="2:8" ht="9" customHeight="1" x14ac:dyDescent="0.2">
      <c r="B14" s="2"/>
      <c r="C14" s="4"/>
      <c r="D14" s="2"/>
      <c r="E14" s="26"/>
    </row>
    <row r="15" spans="2:8" ht="34" x14ac:dyDescent="0.2">
      <c r="B15" s="7" t="s">
        <v>12</v>
      </c>
      <c r="C15" s="16">
        <v>75</v>
      </c>
      <c r="D15" s="2"/>
      <c r="E15" s="26" t="s">
        <v>13</v>
      </c>
    </row>
    <row r="16" spans="2:8" x14ac:dyDescent="0.2">
      <c r="B16" s="5" t="s">
        <v>19</v>
      </c>
      <c r="C16" s="19">
        <f>C13+(C15*C18)</f>
        <v>1225</v>
      </c>
      <c r="D16" s="5"/>
      <c r="E16" s="25" t="s">
        <v>24</v>
      </c>
    </row>
    <row r="17" spans="2:5" ht="9" customHeight="1" x14ac:dyDescent="0.2">
      <c r="B17" s="2"/>
      <c r="C17" s="4"/>
      <c r="D17" s="2"/>
      <c r="E17" s="26"/>
    </row>
    <row r="18" spans="2:5" ht="34" customHeight="1" x14ac:dyDescent="0.2">
      <c r="B18" s="2" t="s">
        <v>14</v>
      </c>
      <c r="C18" s="8">
        <v>3</v>
      </c>
      <c r="D18" s="2"/>
      <c r="E18" s="26" t="s">
        <v>15</v>
      </c>
    </row>
    <row r="19" spans="2:5" ht="34" customHeight="1" x14ac:dyDescent="0.2">
      <c r="B19" s="2" t="s">
        <v>16</v>
      </c>
      <c r="C19" s="12">
        <v>0.5</v>
      </c>
      <c r="D19" s="2"/>
      <c r="E19" s="26" t="s">
        <v>17</v>
      </c>
    </row>
    <row r="20" spans="2:5" x14ac:dyDescent="0.2">
      <c r="B20" s="5" t="s">
        <v>18</v>
      </c>
      <c r="C20" s="6">
        <f>8760*C19</f>
        <v>4380</v>
      </c>
      <c r="D20" s="5"/>
      <c r="E20" s="25" t="s">
        <v>11</v>
      </c>
    </row>
    <row r="21" spans="2:5" ht="9" customHeight="1" x14ac:dyDescent="0.2">
      <c r="B21" s="2"/>
      <c r="C21" s="4"/>
      <c r="D21" s="2"/>
      <c r="E21" s="26"/>
    </row>
    <row r="22" spans="2:5" ht="34" x14ac:dyDescent="0.2">
      <c r="B22" s="7" t="s">
        <v>23</v>
      </c>
      <c r="C22" s="8">
        <v>150</v>
      </c>
      <c r="D22" s="2"/>
      <c r="E22" s="26" t="s">
        <v>22</v>
      </c>
    </row>
    <row r="23" spans="2:5" x14ac:dyDescent="0.2">
      <c r="B23" s="2" t="s">
        <v>20</v>
      </c>
      <c r="C23" s="15">
        <v>0.14000000000000001</v>
      </c>
      <c r="D23" s="2"/>
      <c r="E23" s="26" t="s">
        <v>21</v>
      </c>
    </row>
    <row r="24" spans="2:5" ht="9" customHeight="1" x14ac:dyDescent="0.2">
      <c r="B24" s="2"/>
      <c r="C24" s="4"/>
      <c r="D24" s="2"/>
      <c r="E24" s="7"/>
    </row>
    <row r="25" spans="2:5" x14ac:dyDescent="0.2">
      <c r="B25" s="85" t="s">
        <v>26</v>
      </c>
      <c r="C25" s="85"/>
      <c r="D25" s="85"/>
      <c r="E25" s="85"/>
    </row>
    <row r="26" spans="2:5" x14ac:dyDescent="0.2">
      <c r="B26" s="5" t="s">
        <v>28</v>
      </c>
      <c r="C26" s="24">
        <f>C16/(C20*C18)</f>
        <v>9.3226788432267879E-2</v>
      </c>
      <c r="D26" s="5"/>
      <c r="E26" s="25" t="s">
        <v>25</v>
      </c>
    </row>
    <row r="27" spans="2:5" x14ac:dyDescent="0.2">
      <c r="B27" s="5" t="s">
        <v>27</v>
      </c>
      <c r="C27" s="24">
        <f>(C22/1000)*C23</f>
        <v>2.1000000000000001E-2</v>
      </c>
      <c r="D27" s="5"/>
      <c r="E27" s="25" t="s">
        <v>25</v>
      </c>
    </row>
    <row r="28" spans="2:5" ht="32" x14ac:dyDescent="0.2">
      <c r="B28" s="2" t="s">
        <v>30</v>
      </c>
      <c r="C28" s="8">
        <v>1.3</v>
      </c>
      <c r="D28" s="2"/>
      <c r="E28" s="26" t="s">
        <v>31</v>
      </c>
    </row>
    <row r="29" spans="2:5" ht="37" customHeight="1" x14ac:dyDescent="0.2">
      <c r="B29" s="20" t="s">
        <v>29</v>
      </c>
      <c r="C29" s="64">
        <f>(C26+C27)*C28</f>
        <v>0.14849482496194824</v>
      </c>
      <c r="D29" s="20"/>
      <c r="E29" s="26" t="s">
        <v>32</v>
      </c>
    </row>
    <row r="30" spans="2:5" x14ac:dyDescent="0.2">
      <c r="B30" s="2"/>
      <c r="C30" s="4"/>
      <c r="E30" s="1"/>
    </row>
    <row r="32" spans="2:5" x14ac:dyDescent="0.2">
      <c r="B32" s="2"/>
      <c r="C32" s="4"/>
      <c r="E32" s="1"/>
    </row>
    <row r="33" spans="2:3" x14ac:dyDescent="0.2">
      <c r="B33" s="2"/>
      <c r="C33" s="4"/>
    </row>
    <row r="34" spans="2:3" x14ac:dyDescent="0.2">
      <c r="B34" s="2"/>
      <c r="C34" s="4"/>
    </row>
    <row r="35" spans="2:3" x14ac:dyDescent="0.2">
      <c r="B35" s="2"/>
      <c r="C35" s="4"/>
    </row>
    <row r="36" spans="2:3" x14ac:dyDescent="0.2">
      <c r="B36" s="2"/>
      <c r="C36" s="4"/>
    </row>
    <row r="37" spans="2:3" x14ac:dyDescent="0.2">
      <c r="B37" s="2"/>
      <c r="C37" s="4"/>
    </row>
  </sheetData>
  <mergeCells count="3">
    <mergeCell ref="B9:E9"/>
    <mergeCell ref="B25:E25"/>
    <mergeCell ref="B1:E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Calculation Sheet</vt:lpstr>
      <vt:lpstr>Instructions</vt:lpstr>
      <vt:lpstr>Adv. Inputs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Travis Lathrop</dc:creator>
  <cp:lastModifiedBy>Travis Lathrop</cp:lastModifiedBy>
  <cp:lastPrinted>2024-04-30T15:28:43Z</cp:lastPrinted>
  <dcterms:created xsi:type="dcterms:W3CDTF">2024-04-26T17:01:05Z</dcterms:created>
  <dcterms:modified xsi:type="dcterms:W3CDTF">2024-05-12T14:15:10Z</dcterms:modified>
</cp:coreProperties>
</file>